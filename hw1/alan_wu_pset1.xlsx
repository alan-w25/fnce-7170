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W1 Part 1" sheetId="1" r:id="rId4"/>
  </sheets>
  <definedNames/>
  <calcPr/>
</workbook>
</file>

<file path=xl/sharedStrings.xml><?xml version="1.0" encoding="utf-8"?>
<sst xmlns="http://schemas.openxmlformats.org/spreadsheetml/2006/main" count="9" uniqueCount="9">
  <si>
    <t xml:space="preserve">Tenor </t>
  </si>
  <si>
    <t>Tenor (As part of a year)</t>
  </si>
  <si>
    <t>Rate (%)</t>
  </si>
  <si>
    <t xml:space="preserve">Rate (rate) </t>
  </si>
  <si>
    <t>Cashflow</t>
  </si>
  <si>
    <t>Discounted Coupon</t>
  </si>
  <si>
    <t xml:space="preserve">DF </t>
  </si>
  <si>
    <t>Total</t>
  </si>
  <si>
    <t>Dividend Swap Fixed Leg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</si>
</sst>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0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19.0"/>
    <col customWidth="1" min="5" max="5" width="15.63"/>
    <col customWidth="1" min="6" max="6" width="19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3.0</v>
      </c>
      <c r="B2" s="3">
        <f t="shared" ref="B2:B13" si="1">A2/12</f>
        <v>0.25</v>
      </c>
      <c r="C2" s="1">
        <v>5.36056</v>
      </c>
      <c r="D2" s="3">
        <f t="shared" ref="D2:D13" si="2">C2/100</f>
        <v>0.0536056</v>
      </c>
      <c r="E2" s="1">
        <v>100.0</v>
      </c>
      <c r="F2" s="3">
        <f t="shared" ref="F2:F13" si="3"> E2 * exp(-1*(D2* (B2-0)))</f>
        <v>98.6687999</v>
      </c>
      <c r="G2" s="3">
        <f t="shared" ref="G2:G13" si="4">exp(-1 * D2 *B2)</f>
        <v>0.986687999</v>
      </c>
    </row>
    <row r="3">
      <c r="A3" s="2">
        <v>6.0</v>
      </c>
      <c r="B3" s="3">
        <f t="shared" si="1"/>
        <v>0.5</v>
      </c>
      <c r="C3" s="1">
        <v>5.17513</v>
      </c>
      <c r="D3" s="3">
        <f t="shared" si="2"/>
        <v>0.0517513</v>
      </c>
      <c r="E3" s="1">
        <v>100.0</v>
      </c>
      <c r="F3" s="3">
        <f t="shared" si="3"/>
        <v>97.44562557</v>
      </c>
      <c r="G3" s="3">
        <f t="shared" si="4"/>
        <v>0.9744562557</v>
      </c>
    </row>
    <row r="4">
      <c r="A4" s="2">
        <v>9.0</v>
      </c>
      <c r="B4" s="3">
        <f t="shared" si="1"/>
        <v>0.75</v>
      </c>
      <c r="C4" s="1">
        <v>5.01501</v>
      </c>
      <c r="D4" s="3">
        <f t="shared" si="2"/>
        <v>0.0501501</v>
      </c>
      <c r="E4" s="1">
        <v>100.0</v>
      </c>
      <c r="F4" s="3">
        <f t="shared" si="3"/>
        <v>96.30859922</v>
      </c>
      <c r="G4" s="3">
        <f t="shared" si="4"/>
        <v>0.9630859922</v>
      </c>
    </row>
    <row r="5">
      <c r="A5" s="2">
        <v>12.0</v>
      </c>
      <c r="B5" s="3">
        <f t="shared" si="1"/>
        <v>1</v>
      </c>
      <c r="C5" s="1">
        <v>4.87682</v>
      </c>
      <c r="D5" s="3">
        <f t="shared" si="2"/>
        <v>0.0487682</v>
      </c>
      <c r="E5" s="1">
        <v>100.0</v>
      </c>
      <c r="F5" s="3">
        <f t="shared" si="3"/>
        <v>95.24018709</v>
      </c>
      <c r="G5" s="3">
        <f t="shared" si="4"/>
        <v>0.9524018709</v>
      </c>
    </row>
    <row r="6">
      <c r="A6" s="2">
        <v>15.0</v>
      </c>
      <c r="B6" s="3">
        <f t="shared" si="1"/>
        <v>1.25</v>
      </c>
      <c r="C6" s="1">
        <v>4.75763</v>
      </c>
      <c r="D6" s="3">
        <f t="shared" si="2"/>
        <v>0.0475763</v>
      </c>
      <c r="E6" s="1">
        <v>100.0</v>
      </c>
      <c r="F6" s="3">
        <f t="shared" si="3"/>
        <v>94.22634477</v>
      </c>
      <c r="G6" s="3">
        <f t="shared" si="4"/>
        <v>0.9422634477</v>
      </c>
    </row>
    <row r="7">
      <c r="A7" s="2">
        <v>18.0</v>
      </c>
      <c r="B7" s="3">
        <f t="shared" si="1"/>
        <v>1.5</v>
      </c>
      <c r="C7" s="1">
        <v>4.65493</v>
      </c>
      <c r="D7" s="3">
        <f t="shared" si="2"/>
        <v>0.0465493</v>
      </c>
      <c r="E7" s="1">
        <v>100.0</v>
      </c>
      <c r="F7" s="3">
        <f t="shared" si="3"/>
        <v>93.25579823</v>
      </c>
      <c r="G7" s="3">
        <f t="shared" si="4"/>
        <v>0.9325579823</v>
      </c>
    </row>
    <row r="8">
      <c r="A8" s="2">
        <v>21.0</v>
      </c>
      <c r="B8" s="3">
        <f t="shared" si="1"/>
        <v>1.75</v>
      </c>
      <c r="C8" s="1">
        <v>4.56655</v>
      </c>
      <c r="D8" s="3">
        <f t="shared" si="2"/>
        <v>0.0456655</v>
      </c>
      <c r="E8" s="1">
        <v>100.0</v>
      </c>
      <c r="F8" s="3">
        <f t="shared" si="3"/>
        <v>92.31951608</v>
      </c>
      <c r="G8" s="3">
        <f t="shared" si="4"/>
        <v>0.9231951608</v>
      </c>
    </row>
    <row r="9">
      <c r="A9" s="2">
        <v>24.0</v>
      </c>
      <c r="B9" s="3">
        <f t="shared" si="1"/>
        <v>2</v>
      </c>
      <c r="C9" s="1">
        <v>4.49061</v>
      </c>
      <c r="D9" s="3">
        <f t="shared" si="2"/>
        <v>0.0449061</v>
      </c>
      <c r="E9" s="1">
        <v>100.0</v>
      </c>
      <c r="F9" s="3">
        <f t="shared" si="3"/>
        <v>91.41028377</v>
      </c>
      <c r="G9" s="3">
        <f t="shared" si="4"/>
        <v>0.9141028377</v>
      </c>
    </row>
    <row r="10">
      <c r="A10" s="2">
        <v>27.0</v>
      </c>
      <c r="B10" s="3">
        <f t="shared" si="1"/>
        <v>2.25</v>
      </c>
      <c r="C10" s="1">
        <v>4.42551</v>
      </c>
      <c r="D10" s="3">
        <f t="shared" si="2"/>
        <v>0.0442551</v>
      </c>
      <c r="E10" s="1">
        <v>100.0</v>
      </c>
      <c r="F10" s="3">
        <f t="shared" si="3"/>
        <v>90.52229835</v>
      </c>
      <c r="G10" s="3">
        <f t="shared" si="4"/>
        <v>0.9052229835</v>
      </c>
    </row>
    <row r="11">
      <c r="A11" s="2">
        <v>30.0</v>
      </c>
      <c r="B11" s="3">
        <f t="shared" si="1"/>
        <v>2.5</v>
      </c>
      <c r="C11" s="1">
        <v>4.36983</v>
      </c>
      <c r="D11" s="3">
        <f t="shared" si="2"/>
        <v>0.0436983</v>
      </c>
      <c r="E11" s="1">
        <v>100.0</v>
      </c>
      <c r="F11" s="3">
        <f t="shared" si="3"/>
        <v>89.65100731</v>
      </c>
      <c r="G11" s="3">
        <f t="shared" si="4"/>
        <v>0.8965100731</v>
      </c>
    </row>
    <row r="12">
      <c r="A12" s="2">
        <v>33.0</v>
      </c>
      <c r="B12" s="3">
        <f t="shared" si="1"/>
        <v>2.75</v>
      </c>
      <c r="C12" s="1">
        <v>4.32237</v>
      </c>
      <c r="D12" s="3">
        <f t="shared" si="2"/>
        <v>0.0432237</v>
      </c>
      <c r="E12" s="1">
        <v>100.0</v>
      </c>
      <c r="F12" s="3">
        <f t="shared" si="3"/>
        <v>88.79275075</v>
      </c>
      <c r="G12" s="3">
        <f t="shared" si="4"/>
        <v>0.8879275075</v>
      </c>
    </row>
    <row r="13">
      <c r="A13" s="4">
        <v>36.0</v>
      </c>
      <c r="B13" s="3">
        <f t="shared" si="1"/>
        <v>3</v>
      </c>
      <c r="C13" s="1">
        <v>4.28209</v>
      </c>
      <c r="D13" s="3">
        <f t="shared" si="2"/>
        <v>0.0428209</v>
      </c>
      <c r="E13" s="1">
        <v>10100.0</v>
      </c>
      <c r="F13" s="3">
        <f t="shared" si="3"/>
        <v>8882.408288</v>
      </c>
      <c r="G13" s="3">
        <f t="shared" si="4"/>
        <v>0.8794463652</v>
      </c>
    </row>
    <row r="16">
      <c r="A16" s="1" t="s">
        <v>7</v>
      </c>
      <c r="B16" s="3">
        <f>Sum(F2:F13)</f>
        <v>9910.249499</v>
      </c>
    </row>
    <row r="17">
      <c r="F17" s="1" t="s">
        <v>8</v>
      </c>
      <c r="G17" s="3">
        <f>SUM(G2:G13)</f>
        <v>11.15785848</v>
      </c>
    </row>
  </sheetData>
  <drawing r:id="rId1"/>
</worksheet>
</file>